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Work\0-北京昇腾生态\0-北京生态作战地图\"/>
    </mc:Choice>
  </mc:AlternateContent>
  <xr:revisionPtr revIDLastSave="0" documentId="13_ncr:1_{11245FCB-4C4D-47C5-9E3A-F8AF6DA13F6B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创新中心伙伴（伙伴洞察）" sheetId="1" r:id="rId1"/>
    <sheet name="伙伴运营进展(战略聚焦)-分数&gt;60" sheetId="5" r:id="rId2"/>
    <sheet name="解决方案列表(价值识别)-分数前30" sheetId="3" r:id="rId3"/>
    <sheet name="评分项" sheetId="2" r:id="rId4"/>
  </sheets>
  <definedNames>
    <definedName name="_xlnm._FilterDatabase" localSheetId="0" hidden="1">'创新中心伙伴（伙伴洞察）'!$A$2:$AQ$5</definedName>
    <definedName name="_xlnm._FilterDatabase" localSheetId="1" hidden="1">'伙伴运营进展(战略聚焦)-分数&gt;60'!$A$2:$P$2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P4" i="1" l="1"/>
  <c r="AM4" i="1"/>
  <c r="AK4" i="1"/>
  <c r="AI4" i="1"/>
  <c r="AG4" i="1"/>
  <c r="AE4" i="1"/>
  <c r="AC4" i="1"/>
  <c r="Y4" i="1"/>
  <c r="V4" i="1"/>
  <c r="S4" i="1"/>
  <c r="P4" i="1"/>
  <c r="M4" i="1"/>
  <c r="AP5" i="1"/>
  <c r="AM5" i="1"/>
  <c r="AK5" i="1"/>
  <c r="AI5" i="1"/>
  <c r="AG5" i="1"/>
  <c r="AE5" i="1"/>
  <c r="AC5" i="1"/>
  <c r="Y5" i="1"/>
  <c r="V5" i="1"/>
  <c r="S5" i="1"/>
  <c r="P5" i="1"/>
  <c r="M5" i="1"/>
  <c r="AP3" i="1"/>
  <c r="AM3" i="1"/>
  <c r="AK3" i="1"/>
  <c r="AI3" i="1"/>
  <c r="AG3" i="1"/>
  <c r="AE3" i="1"/>
  <c r="AC3" i="1"/>
  <c r="Y3" i="1"/>
  <c r="V3" i="1"/>
  <c r="S3" i="1"/>
  <c r="P3" i="1"/>
  <c r="M3" i="1"/>
  <c r="AN5" i="1" l="1"/>
  <c r="AN4" i="1"/>
  <c r="Z3" i="1"/>
  <c r="Z4" i="1"/>
  <c r="AN3" i="1"/>
  <c r="AQ3" i="1" s="1"/>
  <c r="Z5" i="1"/>
  <c r="AQ5" i="1" l="1"/>
  <c r="AQ4" i="1"/>
</calcChain>
</file>

<file path=xl/sharedStrings.xml><?xml version="1.0" encoding="utf-8"?>
<sst xmlns="http://schemas.openxmlformats.org/spreadsheetml/2006/main" count="247" uniqueCount="195">
  <si>
    <t>伙伴信息</t>
  </si>
  <si>
    <t>基础运营</t>
  </si>
  <si>
    <t>权益运营</t>
  </si>
  <si>
    <t>商业运营</t>
  </si>
  <si>
    <t>序号</t>
  </si>
  <si>
    <t>伙伴全称</t>
  </si>
  <si>
    <t>统一社会信用代码</t>
  </si>
  <si>
    <t>看护人</t>
  </si>
  <si>
    <r>
      <rPr>
        <b/>
        <sz val="11"/>
        <color rgb="FF000000"/>
        <rFont val="微软雅黑"/>
        <family val="2"/>
        <charset val="134"/>
      </rPr>
      <t xml:space="preserve">CXO联接
</t>
    </r>
    <r>
      <rPr>
        <sz val="11"/>
        <color rgb="FF000000"/>
        <rFont val="微软雅黑"/>
        <family val="2"/>
        <charset val="134"/>
      </rPr>
      <t>（完成高层对接）</t>
    </r>
  </si>
  <si>
    <r>
      <rPr>
        <b/>
        <sz val="11"/>
        <color rgb="FF000000"/>
        <rFont val="微软雅黑"/>
        <family val="2"/>
        <charset val="134"/>
      </rPr>
      <t xml:space="preserve">适配认证
</t>
    </r>
    <r>
      <rPr>
        <sz val="11"/>
        <color rgb="FF000000"/>
        <rFont val="微软雅黑"/>
        <family val="2"/>
        <charset val="134"/>
      </rPr>
      <t>(昇腾原生证书)</t>
    </r>
  </si>
  <si>
    <r>
      <rPr>
        <b/>
        <sz val="11"/>
        <color rgb="FF000000"/>
        <rFont val="微软雅黑"/>
        <family val="2"/>
        <charset val="134"/>
      </rPr>
      <t xml:space="preserve">联合营销
</t>
    </r>
    <r>
      <rPr>
        <sz val="11"/>
        <color rgb="FF000000"/>
        <rFont val="微软雅黑"/>
        <family val="2"/>
        <charset val="134"/>
      </rPr>
      <t>（公众号/软文）</t>
    </r>
  </si>
  <si>
    <r>
      <rPr>
        <b/>
        <sz val="11"/>
        <color rgb="FF000000"/>
        <rFont val="微软雅黑"/>
        <family val="2"/>
        <charset val="134"/>
      </rPr>
      <t xml:space="preserve">MDF
</t>
    </r>
    <r>
      <rPr>
        <sz val="11"/>
        <color rgb="FF000000"/>
        <rFont val="微软雅黑"/>
        <family val="2"/>
        <charset val="134"/>
      </rPr>
      <t>（市场推广合作）</t>
    </r>
  </si>
  <si>
    <r>
      <rPr>
        <b/>
        <sz val="11"/>
        <color rgb="FF000000"/>
        <rFont val="微软雅黑"/>
        <family val="2"/>
        <charset val="134"/>
      </rPr>
      <t xml:space="preserve">NRE
</t>
    </r>
    <r>
      <rPr>
        <sz val="11"/>
        <color rgb="FF000000"/>
        <rFont val="微软雅黑"/>
        <family val="2"/>
        <charset val="134"/>
      </rPr>
      <t>（产品开发补贴）</t>
    </r>
  </si>
  <si>
    <r>
      <rPr>
        <b/>
        <sz val="11"/>
        <color rgb="FF000000"/>
        <rFont val="微软雅黑"/>
        <family val="2"/>
        <charset val="134"/>
      </rPr>
      <t xml:space="preserve">昇腾AI创新大赛
</t>
    </r>
    <r>
      <rPr>
        <sz val="11"/>
        <color rgb="FF000000"/>
        <rFont val="微软雅黑"/>
        <family val="2"/>
        <charset val="134"/>
      </rPr>
      <t>（奖项奖金）</t>
    </r>
  </si>
  <si>
    <t>算力激励</t>
  </si>
  <si>
    <t>生态样机</t>
  </si>
  <si>
    <t>众智计划</t>
  </si>
  <si>
    <t>行业握手/对标</t>
  </si>
  <si>
    <t>一体机</t>
  </si>
  <si>
    <t>商用项目落地</t>
  </si>
  <si>
    <t>关琦</t>
  </si>
  <si>
    <t>北京海致科技集团股份有限公司</t>
  </si>
  <si>
    <t>91110108076603799W</t>
  </si>
  <si>
    <t>北京中科闻歌科技股份有限公司</t>
  </si>
  <si>
    <t>91110108MA00CPWN29</t>
  </si>
  <si>
    <t>王丹</t>
  </si>
  <si>
    <t>北京惠每云科技有限公司</t>
  </si>
  <si>
    <t>9111010506725438XF</t>
  </si>
  <si>
    <t>基础信息</t>
  </si>
  <si>
    <t>公司影响力（50%）</t>
  </si>
  <si>
    <t>伙伴价值（40%）</t>
  </si>
  <si>
    <t>合作意愿（10%）</t>
  </si>
  <si>
    <t>综合打分</t>
  </si>
  <si>
    <t>备注</t>
  </si>
  <si>
    <t>客户全称
（工商登记全称）</t>
  </si>
  <si>
    <t xml:space="preserve">伙伴类型
</t>
  </si>
  <si>
    <t>核心能力</t>
  </si>
  <si>
    <t>涉及行业
（对应山海图鉴）</t>
  </si>
  <si>
    <t>伙伴来源
（生态自拓/攀峰行动/产品线BD）</t>
  </si>
  <si>
    <t>注册资本
（万元）</t>
  </si>
  <si>
    <t>注册资本区间</t>
  </si>
  <si>
    <t>注册资本打分</t>
  </si>
  <si>
    <t>融资情况
(额度/轮次)</t>
  </si>
  <si>
    <t>融资区间</t>
  </si>
  <si>
    <t>融资
打分</t>
  </si>
  <si>
    <t>专利数量
（知识产权信息）</t>
  </si>
  <si>
    <t>专利数量区间</t>
  </si>
  <si>
    <t>专利数量打分</t>
  </si>
  <si>
    <t>员工数量
（人）</t>
  </si>
  <si>
    <t>员工数量
区间</t>
  </si>
  <si>
    <t>员工数量打分</t>
  </si>
  <si>
    <t>往年营收
（万元）</t>
  </si>
  <si>
    <t>营收区间</t>
  </si>
  <si>
    <t>营收打分</t>
  </si>
  <si>
    <t>公司影响力打分</t>
  </si>
  <si>
    <t>AI团队人数
（人）</t>
  </si>
  <si>
    <t>AI团队
占比</t>
  </si>
  <si>
    <t>AI团队规模打分</t>
  </si>
  <si>
    <t>核心竞争力
（核心产品/解决方案在业内的竞争力）</t>
  </si>
  <si>
    <t>核心竞争力打分</t>
  </si>
  <si>
    <t>交付能力</t>
  </si>
  <si>
    <t>交付能力打分</t>
  </si>
  <si>
    <t>销售能力</t>
  </si>
  <si>
    <t>销售能力打分</t>
  </si>
  <si>
    <t>市场带货情况</t>
  </si>
  <si>
    <t>带货打分</t>
  </si>
  <si>
    <t>商用案例</t>
  </si>
  <si>
    <t>商用案例打分</t>
  </si>
  <si>
    <t>伙伴价值打分</t>
  </si>
  <si>
    <t>合作态度</t>
  </si>
  <si>
    <t>打分</t>
  </si>
  <si>
    <t>基础模型（预训练/后训练）_x000D_
大模型行业应用（LLM/MM）</t>
  </si>
  <si>
    <t>加速库/算子开发_x000D_
Agent/RAG/知识图谱</t>
  </si>
  <si>
    <t>教育科研</t>
  </si>
  <si>
    <t>存量伙伴</t>
  </si>
  <si>
    <t>战略目标</t>
  </si>
  <si>
    <t>&gt;1000W</t>
  </si>
  <si>
    <t>5亿/E轮</t>
  </si>
  <si>
    <t>五亿级+</t>
  </si>
  <si>
    <t>&gt;200</t>
  </si>
  <si>
    <t>&gt;300人</t>
  </si>
  <si>
    <t>1-5亿</t>
  </si>
  <si>
    <t>10%-50%</t>
  </si>
  <si>
    <t>很强-方案为行业优选</t>
  </si>
  <si>
    <t>&gt;5台大规模软硬件交付</t>
  </si>
  <si>
    <t>全国销售覆盖&gt;5分公司</t>
  </si>
  <si>
    <t>0-1项目落地</t>
  </si>
  <si>
    <t>有昇腾商用案例</t>
  </si>
  <si>
    <t>支持-昇腾优选</t>
  </si>
  <si>
    <t>刘思宇-产品总监</t>
  </si>
  <si>
    <t>生态自拓</t>
  </si>
  <si>
    <t>200W-500W</t>
  </si>
  <si>
    <t>千万级</t>
  </si>
  <si>
    <t>&lt;30</t>
  </si>
  <si>
    <t>&lt;50人</t>
  </si>
  <si>
    <t>&lt;1亿</t>
  </si>
  <si>
    <t>全部</t>
  </si>
  <si>
    <t>一般-同类方案繁多</t>
  </si>
  <si>
    <t>仅软件方案交付</t>
  </si>
  <si>
    <t>区域销售覆盖&lt;5个分公司</t>
  </si>
  <si>
    <t>无合作</t>
  </si>
  <si>
    <t>有非昇腾商用案例</t>
  </si>
  <si>
    <t>暂不支持昇腾</t>
  </si>
  <si>
    <t>大模型行业应用（LLM/MM）</t>
  </si>
  <si>
    <t>Agent/RAG/知识图谱</t>
  </si>
  <si>
    <t>医疗</t>
  </si>
  <si>
    <t>2亿/E轮</t>
  </si>
  <si>
    <t>亿级</t>
  </si>
  <si>
    <t>100-200</t>
  </si>
  <si>
    <t>100-300人</t>
  </si>
  <si>
    <t>50%-100%</t>
  </si>
  <si>
    <t>蒋宋怡-首席质量官</t>
  </si>
  <si>
    <t>500W-1000W</t>
  </si>
  <si>
    <t>&lt;5台小规模软硬件交付</t>
  </si>
  <si>
    <t>&gt;5个项目落地</t>
  </si>
  <si>
    <t>大模型后训练/微调_x000D_
算力管理平台</t>
  </si>
  <si>
    <t>数字政府</t>
  </si>
  <si>
    <t>数亿/E+轮</t>
  </si>
  <si>
    <t>30-100</t>
  </si>
  <si>
    <t>5亿-10亿</t>
  </si>
  <si>
    <t>中立-昇腾可选</t>
  </si>
  <si>
    <t>行业大模型应用开发</t>
  </si>
  <si>
    <t>&lt;10%</t>
  </si>
  <si>
    <t>北京周边销售覆盖</t>
  </si>
  <si>
    <t>无商用案例</t>
  </si>
  <si>
    <t>百万级</t>
  </si>
  <si>
    <t>金融</t>
  </si>
  <si>
    <t>&gt;10亿</t>
  </si>
  <si>
    <t>互联网传媒</t>
  </si>
  <si>
    <t>50-100人</t>
  </si>
  <si>
    <t>油气矿山</t>
  </si>
  <si>
    <t>运营商</t>
  </si>
  <si>
    <t>智能制造</t>
  </si>
  <si>
    <t>排他-昇腾唯一</t>
  </si>
  <si>
    <t>&lt;200W</t>
  </si>
  <si>
    <t>大企业</t>
  </si>
  <si>
    <t>交通</t>
  </si>
  <si>
    <t>解决方案信息</t>
  </si>
  <si>
    <t>生态拓展</t>
  </si>
  <si>
    <t>项目拓展</t>
  </si>
  <si>
    <t>解决方案</t>
  </si>
  <si>
    <t>业务场景</t>
  </si>
  <si>
    <t>关键技术栈</t>
  </si>
  <si>
    <t>算力需求
（含带货项目需求）</t>
  </si>
  <si>
    <t>算力获取方式</t>
  </si>
  <si>
    <t>方案价值
（自用算力采购/自用算力租赁/商用带货/解决方案补齐/生态KPI）</t>
  </si>
  <si>
    <t>方案适配
进展</t>
  </si>
  <si>
    <t>原生认证
进展</t>
  </si>
  <si>
    <t>市场带货
进展</t>
  </si>
  <si>
    <t>机会点名称</t>
  </si>
  <si>
    <t>机会点预签金额（万）</t>
  </si>
  <si>
    <t>预签时间</t>
  </si>
  <si>
    <t>立项</t>
  </si>
  <si>
    <t>POC</t>
  </si>
  <si>
    <t>中标状态</t>
  </si>
  <si>
    <t>商用</t>
  </si>
  <si>
    <t>基础模型（预训练/后训练）</t>
  </si>
  <si>
    <t>大模型自研</t>
  </si>
  <si>
    <t>较强-方案有竞争力</t>
  </si>
  <si>
    <t>1-3项目落地</t>
  </si>
  <si>
    <t>AI Infra（加速库/框架/平台）</t>
  </si>
  <si>
    <t>大模型后训练/微调</t>
  </si>
  <si>
    <t>传统行业应用（CV/NLP）</t>
  </si>
  <si>
    <t>大模型性能调优</t>
  </si>
  <si>
    <t>电力</t>
  </si>
  <si>
    <t>垄断-业内唯一方案</t>
  </si>
  <si>
    <t>算力管理平台</t>
  </si>
  <si>
    <t>系统集成商（Server/IDC）</t>
  </si>
  <si>
    <t>加速库/算子开发</t>
  </si>
  <si>
    <t>数据治理/清洗/整合</t>
  </si>
  <si>
    <t>智算集群交付</t>
  </si>
  <si>
    <t>国网</t>
  </si>
  <si>
    <t>国铁</t>
  </si>
  <si>
    <t>其他</t>
  </si>
  <si>
    <t>KPI标签
（战略目标/攀峰行动/生态KPI/生态白名单）</t>
    <phoneticPr fontId="12" type="noConversion"/>
  </si>
  <si>
    <t>硬件层（芯片）</t>
    <phoneticPr fontId="13" type="noConversion"/>
  </si>
  <si>
    <t>硬件层（服务器）</t>
    <phoneticPr fontId="13" type="noConversion"/>
  </si>
  <si>
    <t>硬件层（集群/超节点）</t>
    <phoneticPr fontId="13" type="noConversion"/>
  </si>
  <si>
    <t>基础软件层（驱动/编译优化）</t>
    <phoneticPr fontId="13" type="noConversion"/>
  </si>
  <si>
    <t>基础软件层（训练推理加速/算子优化）</t>
    <phoneticPr fontId="13" type="noConversion"/>
  </si>
  <si>
    <t>基础软件层（训练推理框架）</t>
    <phoneticPr fontId="13" type="noConversion"/>
  </si>
  <si>
    <t>基础软件层（数据治理/工程）</t>
    <phoneticPr fontId="13" type="noConversion"/>
  </si>
  <si>
    <t>模型层（基础/行业LLM）</t>
    <phoneticPr fontId="13" type="noConversion"/>
  </si>
  <si>
    <t>模型层（AIGC/MLLM）</t>
    <phoneticPr fontId="13" type="noConversion"/>
  </si>
  <si>
    <t>模型层（具身智能）</t>
    <phoneticPr fontId="13" type="noConversion"/>
  </si>
  <si>
    <t>模型层（空间计算/世界模型）</t>
    <phoneticPr fontId="13" type="noConversion"/>
  </si>
  <si>
    <t>平台层（调度/管理/运营）</t>
    <phoneticPr fontId="13" type="noConversion"/>
  </si>
  <si>
    <t>平台层（模型管理/应用开发）</t>
    <phoneticPr fontId="13" type="noConversion"/>
  </si>
  <si>
    <t>应用层（行业应用）</t>
    <phoneticPr fontId="13" type="noConversion"/>
  </si>
  <si>
    <t>应用层（行业智能体）</t>
    <phoneticPr fontId="13" type="noConversion"/>
  </si>
  <si>
    <t>全景图
标签</t>
    <phoneticPr fontId="12" type="noConversion"/>
  </si>
  <si>
    <t>模型层（基础/行业LLM）_x000D_
应用层（行业应用）_x000D_
应用层（行业智能体）</t>
    <phoneticPr fontId="12" type="noConversion"/>
  </si>
  <si>
    <t>应用层（行业应用）_x000D_
应用层（行业智能体）</t>
    <phoneticPr fontId="12" type="noConversion"/>
  </si>
  <si>
    <t>已形成商业价值累计</t>
    <phoneticPr fontId="12" type="noConversion"/>
  </si>
  <si>
    <t>未来空间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</si>
</sst>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4" x14ac:knownFonts="1">
    <font>
      <sz val="11"/>
      <color theme="1"/>
      <name val="等线"/>
      <charset val="134"/>
      <scheme val="minor"/>
    </font>
    <font>
      <sz val="11"/>
      <color rgb="FF000000"/>
      <name val="宋体"/>
      <family val="3"/>
      <charset val="134"/>
    </font>
    <font>
      <sz val="11"/>
      <color rgb="FF000000"/>
      <name val="等线"/>
      <family val="3"/>
      <charset val="134"/>
    </font>
    <font>
      <b/>
      <sz val="11"/>
      <color rgb="FF000000"/>
      <name val="微软雅黑"/>
      <family val="2"/>
      <charset val="134"/>
    </font>
    <font>
      <sz val="11"/>
      <color rgb="FF000000"/>
      <name val="等线"/>
      <family val="3"/>
      <charset val="134"/>
      <scheme val="minor"/>
    </font>
    <font>
      <b/>
      <sz val="11"/>
      <name val="微软雅黑"/>
      <family val="2"/>
      <charset val="134"/>
    </font>
    <font>
      <b/>
      <sz val="11"/>
      <color rgb="FFC00000"/>
      <name val="微软雅黑"/>
      <family val="2"/>
      <charset val="134"/>
    </font>
    <font>
      <sz val="11"/>
      <color rgb="FFC0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b/>
      <sz val="11"/>
      <color theme="1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1"/>
      <color rgb="FF000000"/>
      <name val="微软雅黑"/>
      <family val="2"/>
      <charset val="134"/>
    </font>
    <font>
      <sz val="9"/>
      <name val="等线"/>
      <family val="3"/>
      <charset val="134"/>
      <scheme val="minor"/>
    </font>
    <font>
      <sz val="9"/>
      <name val="等线"/>
      <charset val="134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DAE3F3"/>
        <bgColor indexed="64"/>
      </patternFill>
    </fill>
    <fill>
      <patternFill patternType="solid">
        <fgColor theme="4" tint="0.79992065187536243"/>
        <bgColor indexed="64"/>
      </patternFill>
    </fill>
    <fill>
      <patternFill patternType="solid">
        <fgColor theme="9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theme="8" tint="0.79992065187536243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BE5D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rgb="FF000000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>
      <alignment vertical="center"/>
    </xf>
  </cellStyleXfs>
  <cellXfs count="62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0" xfId="0" applyFont="1">
      <alignment vertical="center"/>
    </xf>
    <xf numFmtId="9" fontId="1" fillId="0" borderId="0" xfId="0" applyNumberFormat="1" applyFont="1">
      <alignment vertical="center"/>
    </xf>
    <xf numFmtId="0" fontId="2" fillId="0" borderId="0" xfId="0" applyFont="1">
      <alignment vertical="center"/>
    </xf>
    <xf numFmtId="0" fontId="0" fillId="0" borderId="0" xfId="0" applyFont="1">
      <alignment vertical="center"/>
    </xf>
    <xf numFmtId="0" fontId="3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49" fontId="0" fillId="0" borderId="0" xfId="0" applyNumberFormat="1" applyAlignment="1">
      <alignment vertical="center" wrapText="1"/>
    </xf>
    <xf numFmtId="49" fontId="2" fillId="0" borderId="0" xfId="0" applyNumberFormat="1" applyFont="1" applyAlignment="1">
      <alignment vertical="center" wrapText="1"/>
    </xf>
    <xf numFmtId="0" fontId="4" fillId="0" borderId="0" xfId="0" applyNumberFormat="1" applyFont="1" applyAlignment="1">
      <alignment vertical="center" wrapText="1"/>
    </xf>
    <xf numFmtId="49" fontId="4" fillId="0" borderId="0" xfId="0" applyNumberFormat="1" applyFont="1" applyAlignment="1">
      <alignment vertical="center" wrapText="1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vertical="center" wrapText="1"/>
    </xf>
    <xf numFmtId="49" fontId="3" fillId="6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" fillId="7" borderId="1" xfId="0" applyFont="1" applyFill="1" applyBorder="1" applyAlignment="1">
      <alignment horizontal="center" vertical="center" wrapText="1"/>
    </xf>
    <xf numFmtId="3" fontId="0" fillId="0" borderId="0" xfId="0" applyNumberFormat="1">
      <alignment vertical="center"/>
    </xf>
    <xf numFmtId="3" fontId="0" fillId="0" borderId="0" xfId="0" applyNumberFormat="1" applyFill="1" applyBorder="1">
      <alignment vertical="center"/>
    </xf>
    <xf numFmtId="0" fontId="5" fillId="7" borderId="1" xfId="0" applyFont="1" applyFill="1" applyBorder="1" applyAlignment="1">
      <alignment horizontal="center" vertical="center" wrapText="1"/>
    </xf>
    <xf numFmtId="176" fontId="0" fillId="0" borderId="0" xfId="0" applyNumberFormat="1">
      <alignment vertical="center"/>
    </xf>
    <xf numFmtId="0" fontId="6" fillId="7" borderId="1" xfId="0" applyFont="1" applyFill="1" applyBorder="1" applyAlignment="1">
      <alignment horizontal="center" vertical="center" wrapText="1"/>
    </xf>
    <xf numFmtId="0" fontId="3" fillId="8" borderId="2" xfId="0" applyFont="1" applyFill="1" applyBorder="1" applyAlignment="1">
      <alignment horizontal="center" vertical="center" wrapText="1"/>
    </xf>
    <xf numFmtId="0" fontId="3" fillId="8" borderId="3" xfId="0" applyFont="1" applyFill="1" applyBorder="1" applyAlignment="1">
      <alignment horizontal="center" vertical="center" wrapText="1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5" fillId="8" borderId="3" xfId="0" applyFont="1" applyFill="1" applyBorder="1" applyAlignment="1">
      <alignment horizontal="center" vertical="center" wrapText="1"/>
    </xf>
    <xf numFmtId="0" fontId="3" fillId="8" borderId="3" xfId="0" applyFont="1" applyFill="1" applyBorder="1" applyAlignment="1">
      <alignment horizontal="center" vertical="center"/>
    </xf>
    <xf numFmtId="0" fontId="6" fillId="8" borderId="3" xfId="0" applyFont="1" applyFill="1" applyBorder="1" applyAlignment="1">
      <alignment horizontal="center" vertical="center" wrapText="1"/>
    </xf>
    <xf numFmtId="0" fontId="3" fillId="9" borderId="3" xfId="0" applyFont="1" applyFill="1" applyBorder="1" applyAlignment="1">
      <alignment horizontal="center" vertical="center"/>
    </xf>
    <xf numFmtId="0" fontId="6" fillId="10" borderId="14" xfId="0" applyFont="1" applyFill="1" applyBorder="1" applyAlignment="1">
      <alignment vertical="center" wrapText="1"/>
    </xf>
    <xf numFmtId="0" fontId="6" fillId="10" borderId="16" xfId="0" applyFont="1" applyFill="1" applyBorder="1" applyAlignment="1">
      <alignment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12" borderId="1" xfId="0" applyFont="1" applyFill="1" applyBorder="1" applyAlignment="1">
      <alignment horizontal="center" vertical="center" wrapText="1"/>
    </xf>
    <xf numFmtId="0" fontId="3" fillId="13" borderId="1" xfId="0" applyFont="1" applyFill="1" applyBorder="1" applyAlignment="1">
      <alignment horizontal="center" vertical="center" wrapText="1"/>
    </xf>
    <xf numFmtId="0" fontId="10" fillId="0" borderId="0" xfId="0" applyFont="1">
      <alignment vertical="center"/>
    </xf>
    <xf numFmtId="0" fontId="3" fillId="6" borderId="4" xfId="0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0" fontId="3" fillId="6" borderId="6" xfId="0" applyFont="1" applyFill="1" applyBorder="1" applyAlignment="1">
      <alignment horizontal="center" vertical="center" wrapText="1"/>
    </xf>
    <xf numFmtId="0" fontId="3" fillId="7" borderId="7" xfId="0" applyFont="1" applyFill="1" applyBorder="1" applyAlignment="1">
      <alignment horizontal="center" vertical="center" wrapText="1"/>
    </xf>
    <xf numFmtId="0" fontId="3" fillId="7" borderId="8" xfId="0" applyFont="1" applyFill="1" applyBorder="1" applyAlignment="1">
      <alignment horizontal="center" vertical="center" wrapText="1"/>
    </xf>
    <xf numFmtId="0" fontId="3" fillId="7" borderId="9" xfId="0" applyFont="1" applyFill="1" applyBorder="1" applyAlignment="1">
      <alignment horizontal="center" vertical="center" wrapText="1"/>
    </xf>
    <xf numFmtId="0" fontId="3" fillId="8" borderId="10" xfId="0" applyFont="1" applyFill="1" applyBorder="1" applyAlignment="1">
      <alignment horizontal="center" vertical="center" wrapText="1"/>
    </xf>
    <xf numFmtId="0" fontId="3" fillId="8" borderId="11" xfId="0" applyFont="1" applyFill="1" applyBorder="1" applyAlignment="1">
      <alignment horizontal="center" vertical="center" wrapText="1"/>
    </xf>
    <xf numFmtId="0" fontId="3" fillId="8" borderId="12" xfId="0" applyFont="1" applyFill="1" applyBorder="1" applyAlignment="1">
      <alignment horizontal="center" vertical="center" wrapText="1"/>
    </xf>
    <xf numFmtId="0" fontId="3" fillId="9" borderId="13" xfId="0" applyFont="1" applyFill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0" fillId="11" borderId="15" xfId="0" applyFont="1" applyFill="1" applyBorder="1" applyAlignment="1">
      <alignment horizontal="center" vertical="center"/>
    </xf>
    <xf numFmtId="0" fontId="0" fillId="11" borderId="15" xfId="0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12" borderId="4" xfId="0" applyFont="1" applyFill="1" applyBorder="1" applyAlignment="1">
      <alignment horizontal="center" vertical="center"/>
    </xf>
    <xf numFmtId="0" fontId="3" fillId="12" borderId="5" xfId="0" applyFont="1" applyFill="1" applyBorder="1" applyAlignment="1">
      <alignment horizontal="center" vertical="center"/>
    </xf>
    <xf numFmtId="0" fontId="3" fillId="12" borderId="6" xfId="0" applyFont="1" applyFill="1" applyBorder="1" applyAlignment="1">
      <alignment horizontal="center" vertical="center"/>
    </xf>
    <xf numFmtId="0" fontId="9" fillId="13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 wrapText="1"/>
    </xf>
  </cellXfs>
  <cellStyles count="1">
    <cellStyle name="常规" xfId="0" builtinId="0"/>
  </cellStyles>
  <dxfs count="2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R13"/>
  <sheetViews>
    <sheetView tabSelected="1" topLeftCell="R1" zoomScale="105" zoomScaleNormal="70" workbookViewId="0">
      <selection activeCell="F10" sqref="F10"/>
    </sheetView>
  </sheetViews>
  <sheetFormatPr defaultColWidth="9" defaultRowHeight="13.8" x14ac:dyDescent="0.25"/>
  <cols>
    <col min="1" max="1" width="5.5546875" customWidth="1"/>
    <col min="2" max="2" width="34.77734375" style="2" customWidth="1"/>
    <col min="3" max="3" width="23.77734375" style="10" customWidth="1"/>
    <col min="4" max="4" width="28.77734375" customWidth="1"/>
    <col min="5" max="5" width="30" customWidth="1"/>
    <col min="6" max="6" width="30.77734375" customWidth="1"/>
    <col min="7" max="7" width="18.109375" customWidth="1"/>
    <col min="8" max="8" width="19.33203125" customWidth="1"/>
    <col min="9" max="9" width="45" customWidth="1"/>
    <col min="10" max="10" width="7.5546875" customWidth="1"/>
    <col min="11" max="11" width="11.109375" customWidth="1"/>
    <col min="12" max="12" width="8.88671875" style="2"/>
    <col min="14" max="14" width="14.77734375" customWidth="1"/>
    <col min="21" max="21" width="10.6640625" customWidth="1"/>
    <col min="23" max="23" width="9.5546875" customWidth="1"/>
    <col min="27" max="27" width="10.33203125" customWidth="1"/>
    <col min="28" max="28" width="12" customWidth="1"/>
    <col min="30" max="30" width="12.109375" customWidth="1"/>
    <col min="44" max="44" width="16.109375" customWidth="1"/>
  </cols>
  <sheetData>
    <row r="1" spans="1:44" ht="34.799999999999997" customHeight="1" x14ac:dyDescent="0.25">
      <c r="A1" s="40" t="s">
        <v>28</v>
      </c>
      <c r="B1" s="41"/>
      <c r="C1" s="41"/>
      <c r="D1" s="41"/>
      <c r="E1" s="41"/>
      <c r="F1" s="41"/>
      <c r="G1" s="41"/>
      <c r="H1" s="41"/>
      <c r="I1" s="41"/>
      <c r="J1" s="42"/>
      <c r="K1" s="43" t="s">
        <v>29</v>
      </c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5"/>
      <c r="AA1" s="46" t="s">
        <v>30</v>
      </c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  <c r="AM1" s="47"/>
      <c r="AN1" s="48"/>
      <c r="AO1" s="49" t="s">
        <v>31</v>
      </c>
      <c r="AP1" s="50"/>
      <c r="AQ1" s="34" t="s">
        <v>32</v>
      </c>
      <c r="AR1" s="51" t="s">
        <v>33</v>
      </c>
    </row>
    <row r="2" spans="1:44" ht="81" x14ac:dyDescent="0.25">
      <c r="A2" s="17" t="s">
        <v>4</v>
      </c>
      <c r="B2" s="17" t="s">
        <v>34</v>
      </c>
      <c r="C2" s="18" t="s">
        <v>6</v>
      </c>
      <c r="D2" s="17" t="s">
        <v>35</v>
      </c>
      <c r="E2" s="17" t="s">
        <v>36</v>
      </c>
      <c r="F2" s="17" t="s">
        <v>37</v>
      </c>
      <c r="G2" s="17" t="s">
        <v>38</v>
      </c>
      <c r="H2" s="17" t="s">
        <v>174</v>
      </c>
      <c r="I2" s="17" t="s">
        <v>190</v>
      </c>
      <c r="J2" s="17" t="s">
        <v>7</v>
      </c>
      <c r="K2" s="20" t="s">
        <v>39</v>
      </c>
      <c r="L2" s="20" t="s">
        <v>40</v>
      </c>
      <c r="M2" s="20" t="s">
        <v>41</v>
      </c>
      <c r="N2" s="20" t="s">
        <v>42</v>
      </c>
      <c r="O2" s="20" t="s">
        <v>43</v>
      </c>
      <c r="P2" s="20" t="s">
        <v>44</v>
      </c>
      <c r="Q2" s="20" t="s">
        <v>45</v>
      </c>
      <c r="R2" s="20" t="s">
        <v>46</v>
      </c>
      <c r="S2" s="20" t="s">
        <v>47</v>
      </c>
      <c r="T2" s="20" t="s">
        <v>48</v>
      </c>
      <c r="U2" s="20" t="s">
        <v>49</v>
      </c>
      <c r="V2" s="20" t="s">
        <v>50</v>
      </c>
      <c r="W2" s="23" t="s">
        <v>51</v>
      </c>
      <c r="X2" s="23" t="s">
        <v>52</v>
      </c>
      <c r="Y2" s="20" t="s">
        <v>53</v>
      </c>
      <c r="Z2" s="25" t="s">
        <v>54</v>
      </c>
      <c r="AA2" s="26" t="s">
        <v>55</v>
      </c>
      <c r="AB2" s="26" t="s">
        <v>56</v>
      </c>
      <c r="AC2" s="27" t="s">
        <v>57</v>
      </c>
      <c r="AD2" s="30" t="s">
        <v>58</v>
      </c>
      <c r="AE2" s="27" t="s">
        <v>59</v>
      </c>
      <c r="AF2" s="31" t="s">
        <v>60</v>
      </c>
      <c r="AG2" s="27" t="s">
        <v>61</v>
      </c>
      <c r="AH2" s="31" t="s">
        <v>62</v>
      </c>
      <c r="AI2" s="27" t="s">
        <v>63</v>
      </c>
      <c r="AJ2" s="30" t="s">
        <v>64</v>
      </c>
      <c r="AK2" s="27" t="s">
        <v>65</v>
      </c>
      <c r="AL2" s="30" t="s">
        <v>66</v>
      </c>
      <c r="AM2" s="27" t="s">
        <v>67</v>
      </c>
      <c r="AN2" s="32" t="s">
        <v>68</v>
      </c>
      <c r="AO2" s="33" t="s">
        <v>69</v>
      </c>
      <c r="AP2" s="33" t="s">
        <v>70</v>
      </c>
      <c r="AQ2" s="35"/>
      <c r="AR2" s="52"/>
    </row>
    <row r="3" spans="1:44" ht="41.4" x14ac:dyDescent="0.25">
      <c r="A3" s="19">
        <v>1</v>
      </c>
      <c r="B3" s="2" t="s">
        <v>23</v>
      </c>
      <c r="C3" s="10" t="s">
        <v>24</v>
      </c>
      <c r="D3" s="9" t="s">
        <v>71</v>
      </c>
      <c r="E3" s="9" t="s">
        <v>72</v>
      </c>
      <c r="F3" s="9" t="s">
        <v>73</v>
      </c>
      <c r="G3" t="s">
        <v>74</v>
      </c>
      <c r="H3" t="s">
        <v>75</v>
      </c>
      <c r="I3" s="2" t="s">
        <v>191</v>
      </c>
      <c r="J3" t="s">
        <v>25</v>
      </c>
      <c r="K3" s="21">
        <v>15826.6607</v>
      </c>
      <c r="L3" s="2" t="s">
        <v>76</v>
      </c>
      <c r="M3">
        <f>VLOOKUP(L3,评分项!A:B,2,0)</f>
        <v>10</v>
      </c>
      <c r="N3" s="2" t="s">
        <v>77</v>
      </c>
      <c r="O3" s="2" t="s">
        <v>78</v>
      </c>
      <c r="P3">
        <f>VLOOKUP(O3,评分项!D:E,2,0)</f>
        <v>10</v>
      </c>
      <c r="Q3">
        <v>231</v>
      </c>
      <c r="R3" s="2" t="s">
        <v>79</v>
      </c>
      <c r="S3">
        <f>VLOOKUP(R3,评分项!G:H,2,0)</f>
        <v>10</v>
      </c>
      <c r="T3">
        <v>400</v>
      </c>
      <c r="U3" s="2" t="s">
        <v>80</v>
      </c>
      <c r="V3">
        <f>VLOOKUP(U3,评分项!J:K,2,0)</f>
        <v>10</v>
      </c>
      <c r="W3" s="24">
        <v>20000</v>
      </c>
      <c r="X3" s="2" t="s">
        <v>81</v>
      </c>
      <c r="Y3">
        <f>VLOOKUP(X3,评分项!M:N,2,0)</f>
        <v>5</v>
      </c>
      <c r="Z3" s="28">
        <f t="shared" ref="Z3" si="0">M3+P3+S3+V3+Y3</f>
        <v>45</v>
      </c>
      <c r="AA3" s="29">
        <v>100</v>
      </c>
      <c r="AB3" s="2" t="s">
        <v>82</v>
      </c>
      <c r="AC3">
        <f>VLOOKUP(AB3,评分项!P:Q,2,0)</f>
        <v>5</v>
      </c>
      <c r="AD3" s="2" t="s">
        <v>83</v>
      </c>
      <c r="AE3">
        <f>VLOOKUP(AD3,评分项!S:T,2,0)</f>
        <v>8</v>
      </c>
      <c r="AF3" s="2" t="s">
        <v>84</v>
      </c>
      <c r="AG3">
        <f>VLOOKUP(AF3,评分项!V:W,2,0)</f>
        <v>5</v>
      </c>
      <c r="AH3" s="2" t="s">
        <v>85</v>
      </c>
      <c r="AI3">
        <f>VLOOKUP(AH3,评分项!Y:Z,2,0)</f>
        <v>5</v>
      </c>
      <c r="AJ3" s="2" t="s">
        <v>86</v>
      </c>
      <c r="AK3">
        <f>VLOOKUP(AJ3,评分项!AB:AC,2,0)</f>
        <v>2</v>
      </c>
      <c r="AL3" s="2" t="s">
        <v>87</v>
      </c>
      <c r="AM3">
        <f>VLOOKUP(AL3,评分项!AE:AF,2,0)</f>
        <v>5</v>
      </c>
      <c r="AN3" s="28">
        <f t="shared" ref="AN3" si="1">AC3+AE3+AG3+AI3+AK3+AM3</f>
        <v>30</v>
      </c>
      <c r="AO3" s="2" t="s">
        <v>88</v>
      </c>
      <c r="AP3">
        <f>VLOOKUP(AO3,评分项!AH:AI,2,0)</f>
        <v>8</v>
      </c>
      <c r="AQ3" s="28">
        <f t="shared" ref="AQ3" si="2">Z3+AN3+AP3</f>
        <v>83</v>
      </c>
      <c r="AR3" s="7" t="s">
        <v>89</v>
      </c>
    </row>
    <row r="4" spans="1:44" ht="41.4" x14ac:dyDescent="0.25">
      <c r="A4" s="19">
        <v>5</v>
      </c>
      <c r="B4" s="9" t="s">
        <v>21</v>
      </c>
      <c r="C4" s="9" t="s">
        <v>22</v>
      </c>
      <c r="D4" s="9" t="s">
        <v>103</v>
      </c>
      <c r="E4" s="9" t="s">
        <v>115</v>
      </c>
      <c r="F4" s="9" t="s">
        <v>116</v>
      </c>
      <c r="G4" t="s">
        <v>90</v>
      </c>
      <c r="H4" s="6" t="s">
        <v>75</v>
      </c>
      <c r="I4" s="2"/>
      <c r="J4" t="s">
        <v>20</v>
      </c>
      <c r="K4" s="22">
        <v>3724.0048000000002</v>
      </c>
      <c r="L4" s="2" t="s">
        <v>76</v>
      </c>
      <c r="M4">
        <f>VLOOKUP(L4,评分项!A:B,2,0)</f>
        <v>10</v>
      </c>
      <c r="N4" s="6" t="s">
        <v>117</v>
      </c>
      <c r="O4" s="2" t="s">
        <v>78</v>
      </c>
      <c r="P4">
        <f>VLOOKUP(O4,评分项!D:E,2,0)</f>
        <v>10</v>
      </c>
      <c r="Q4">
        <v>42</v>
      </c>
      <c r="R4" s="2" t="s">
        <v>118</v>
      </c>
      <c r="S4">
        <f>VLOOKUP(R4,评分项!G:H,2,0)</f>
        <v>5</v>
      </c>
      <c r="T4">
        <v>800</v>
      </c>
      <c r="U4" s="2" t="s">
        <v>80</v>
      </c>
      <c r="V4">
        <f>VLOOKUP(U4,评分项!J:K,2,0)</f>
        <v>10</v>
      </c>
      <c r="W4" s="24">
        <v>50000</v>
      </c>
      <c r="X4" s="2" t="s">
        <v>119</v>
      </c>
      <c r="Y4">
        <f>VLOOKUP(X4,评分项!M:N,2,0)</f>
        <v>8</v>
      </c>
      <c r="Z4" s="28">
        <f t="shared" ref="Z4:Z5" si="3">M4+P4+S4+V4+Y4</f>
        <v>43</v>
      </c>
      <c r="AA4" s="29">
        <v>500</v>
      </c>
      <c r="AB4" s="2" t="s">
        <v>110</v>
      </c>
      <c r="AC4">
        <f>VLOOKUP(AB4,评分项!P:Q,2,0)</f>
        <v>8</v>
      </c>
      <c r="AD4" s="2" t="s">
        <v>83</v>
      </c>
      <c r="AE4">
        <f>VLOOKUP(AD4,评分项!S:T,2,0)</f>
        <v>8</v>
      </c>
      <c r="AF4" s="2" t="s">
        <v>84</v>
      </c>
      <c r="AG4">
        <f>VLOOKUP(AF4,评分项!V:W,2,0)</f>
        <v>5</v>
      </c>
      <c r="AH4" s="2" t="s">
        <v>85</v>
      </c>
      <c r="AI4">
        <f>VLOOKUP(AH4,评分项!Y:Z,2,0)</f>
        <v>5</v>
      </c>
      <c r="AJ4" s="2" t="s">
        <v>114</v>
      </c>
      <c r="AK4">
        <f>VLOOKUP(AJ4,评分项!AB:AC,2,0)</f>
        <v>5</v>
      </c>
      <c r="AL4" s="2" t="s">
        <v>87</v>
      </c>
      <c r="AM4">
        <f>VLOOKUP(AL4,评分项!AE:AF,2,0)</f>
        <v>5</v>
      </c>
      <c r="AN4" s="28">
        <f t="shared" ref="AN4:AN5" si="4">AC4+AE4+AG4+AI4+AK4+AM4</f>
        <v>36</v>
      </c>
      <c r="AO4" s="2" t="s">
        <v>120</v>
      </c>
      <c r="AP4">
        <f>VLOOKUP(AO4,评分项!AH:AI,2,0)</f>
        <v>5</v>
      </c>
      <c r="AQ4" s="28">
        <f t="shared" ref="AQ4:AQ5" si="5">Z4+AN4+AP4</f>
        <v>84</v>
      </c>
    </row>
    <row r="5" spans="1:44" ht="41.4" x14ac:dyDescent="0.25">
      <c r="A5" s="19">
        <v>3</v>
      </c>
      <c r="B5" s="2" t="s">
        <v>26</v>
      </c>
      <c r="C5" s="10" t="s">
        <v>27</v>
      </c>
      <c r="D5" s="9" t="s">
        <v>103</v>
      </c>
      <c r="E5" s="9" t="s">
        <v>104</v>
      </c>
      <c r="F5" s="9" t="s">
        <v>105</v>
      </c>
      <c r="G5" t="s">
        <v>90</v>
      </c>
      <c r="H5" t="s">
        <v>75</v>
      </c>
      <c r="I5" s="2" t="s">
        <v>192</v>
      </c>
      <c r="J5" t="s">
        <v>25</v>
      </c>
      <c r="K5" s="21">
        <v>12000</v>
      </c>
      <c r="L5" s="2" t="s">
        <v>76</v>
      </c>
      <c r="M5">
        <f>VLOOKUP(L5,评分项!A:B,2,0)</f>
        <v>10</v>
      </c>
      <c r="N5" t="s">
        <v>106</v>
      </c>
      <c r="O5" s="2" t="s">
        <v>107</v>
      </c>
      <c r="P5">
        <f>VLOOKUP(O5,评分项!D:E,2,0)</f>
        <v>8</v>
      </c>
      <c r="Q5">
        <v>117</v>
      </c>
      <c r="R5" s="2" t="s">
        <v>108</v>
      </c>
      <c r="S5">
        <f>VLOOKUP(R5,评分项!G:H,2,0)</f>
        <v>8</v>
      </c>
      <c r="T5">
        <v>280</v>
      </c>
      <c r="U5" s="2" t="s">
        <v>109</v>
      </c>
      <c r="V5">
        <f>VLOOKUP(U5,评分项!J:K,2,0)</f>
        <v>8</v>
      </c>
      <c r="W5" s="24">
        <v>10000</v>
      </c>
      <c r="X5" s="2" t="s">
        <v>81</v>
      </c>
      <c r="Y5">
        <f>VLOOKUP(X5,评分项!M:N,2,0)</f>
        <v>5</v>
      </c>
      <c r="Z5" s="28">
        <f t="shared" si="3"/>
        <v>39</v>
      </c>
      <c r="AA5" s="29">
        <v>150</v>
      </c>
      <c r="AB5" s="2" t="s">
        <v>110</v>
      </c>
      <c r="AC5">
        <f>VLOOKUP(AB5,评分项!P:Q,2,0)</f>
        <v>8</v>
      </c>
      <c r="AD5" s="2" t="s">
        <v>83</v>
      </c>
      <c r="AE5">
        <f>VLOOKUP(AD5,评分项!S:T,2,0)</f>
        <v>8</v>
      </c>
      <c r="AF5" s="2" t="s">
        <v>84</v>
      </c>
      <c r="AG5">
        <f>VLOOKUP(AF5,评分项!V:W,2,0)</f>
        <v>5</v>
      </c>
      <c r="AH5" s="2" t="s">
        <v>85</v>
      </c>
      <c r="AI5">
        <f>VLOOKUP(AH5,评分项!Y:Z,2,0)</f>
        <v>5</v>
      </c>
      <c r="AJ5" s="2" t="s">
        <v>86</v>
      </c>
      <c r="AK5">
        <f>VLOOKUP(AJ5,评分项!AB:AC,2,0)</f>
        <v>2</v>
      </c>
      <c r="AL5" s="2" t="s">
        <v>87</v>
      </c>
      <c r="AM5">
        <f>VLOOKUP(AL5,评分项!AE:AF,2,0)</f>
        <v>5</v>
      </c>
      <c r="AN5" s="28">
        <f t="shared" si="4"/>
        <v>33</v>
      </c>
      <c r="AO5" s="2" t="s">
        <v>88</v>
      </c>
      <c r="AP5">
        <f>VLOOKUP(AO5,评分项!AH:AI,2,0)</f>
        <v>8</v>
      </c>
      <c r="AQ5" s="28">
        <f t="shared" si="5"/>
        <v>80</v>
      </c>
      <c r="AR5" s="7" t="s">
        <v>111</v>
      </c>
    </row>
    <row r="6" spans="1:44" x14ac:dyDescent="0.25">
      <c r="B6"/>
    </row>
    <row r="7" spans="1:44" x14ac:dyDescent="0.25">
      <c r="B7"/>
    </row>
    <row r="8" spans="1:44" x14ac:dyDescent="0.25">
      <c r="B8"/>
    </row>
    <row r="9" spans="1:44" x14ac:dyDescent="0.25">
      <c r="B9"/>
    </row>
    <row r="10" spans="1:44" x14ac:dyDescent="0.25">
      <c r="B10"/>
    </row>
    <row r="11" spans="1:44" x14ac:dyDescent="0.25">
      <c r="B11"/>
    </row>
    <row r="12" spans="1:44" x14ac:dyDescent="0.25">
      <c r="B12"/>
    </row>
    <row r="13" spans="1:44" x14ac:dyDescent="0.25">
      <c r="B13"/>
    </row>
  </sheetData>
  <sheetProtection formatCells="0" insertHyperlinks="0" autoFilter="0"/>
  <autoFilter ref="A2:AQ5" xr:uid="{00000000-0009-0000-0000-000001000000}">
    <sortState xmlns:xlrd2="http://schemas.microsoft.com/office/spreadsheetml/2017/richdata2" ref="A2:AQ5">
      <sortCondition ref="A2:A5"/>
    </sortState>
  </autoFilter>
  <sortState xmlns:xlrd2="http://schemas.microsoft.com/office/spreadsheetml/2017/richdata2" ref="A4:AR13">
    <sortCondition descending="1" ref="AQ2:AQ13"/>
  </sortState>
  <mergeCells count="5">
    <mergeCell ref="A1:J1"/>
    <mergeCell ref="K1:Z1"/>
    <mergeCell ref="AA1:AN1"/>
    <mergeCell ref="AO1:AP1"/>
    <mergeCell ref="AR1:AR2"/>
  </mergeCells>
  <phoneticPr fontId="12" type="noConversion"/>
  <conditionalFormatting sqref="B3:B5">
    <cfRule type="duplicateValues" dxfId="0" priority="8"/>
  </conditionalFormatting>
  <dataValidations count="12">
    <dataValidation type="list" allowBlank="1" showInputMessage="1" showErrorMessage="1" sqref="AO3:AO5" xr:uid="{00000000-0002-0000-0100-000000000000}">
      <formula1>INDIRECT("评分项!AH:AH")</formula1>
    </dataValidation>
    <dataValidation type="list" allowBlank="1" showInputMessage="1" showErrorMessage="1" sqref="AL3:AL5" xr:uid="{00000000-0002-0000-0100-000001000000}">
      <formula1>INDIRECT("评分项!AE:AE")</formula1>
    </dataValidation>
    <dataValidation type="list" allowBlank="1" showInputMessage="1" showErrorMessage="1" sqref="AJ3:AJ5" xr:uid="{00000000-0002-0000-0100-000002000000}">
      <formula1>INDIRECT("评分项!AB:AB")</formula1>
    </dataValidation>
    <dataValidation type="list" allowBlank="1" showInputMessage="1" showErrorMessage="1" sqref="AH3:AH5" xr:uid="{00000000-0002-0000-0100-000003000000}">
      <formula1>INDIRECT("评分项!Y:Y")</formula1>
    </dataValidation>
    <dataValidation type="list" allowBlank="1" showInputMessage="1" showErrorMessage="1" sqref="O3:O5" xr:uid="{00000000-0002-0000-0100-000004000000}">
      <formula1>INDIRECT("评分项!D:D")</formula1>
    </dataValidation>
    <dataValidation type="list" allowBlank="1" showInputMessage="1" showErrorMessage="1" sqref="X3:X5" xr:uid="{00000000-0002-0000-0100-000005000000}">
      <formula1>INDIRECT("评分项!M:M")</formula1>
    </dataValidation>
    <dataValidation type="list" allowBlank="1" showInputMessage="1" showErrorMessage="1" sqref="U3:U5" xr:uid="{00000000-0002-0000-0100-000006000000}">
      <formula1>INDIRECT("评分项!J:J")</formula1>
    </dataValidation>
    <dataValidation type="list" allowBlank="1" showInputMessage="1" showErrorMessage="1" sqref="AF3:AF5" xr:uid="{00000000-0002-0000-0100-000007000000}">
      <formula1>INDIRECT("评分项!V:V")</formula1>
    </dataValidation>
    <dataValidation type="list" allowBlank="1" showInputMessage="1" showErrorMessage="1" sqref="AB3:AB5" xr:uid="{00000000-0002-0000-0100-000008000000}">
      <formula1>INDIRECT("评分项!P:P")</formula1>
    </dataValidation>
    <dataValidation type="list" allowBlank="1" showInputMessage="1" showErrorMessage="1" sqref="R3:R5" xr:uid="{00000000-0002-0000-0100-000009000000}">
      <formula1>INDIRECT("评分项!G:G")</formula1>
    </dataValidation>
    <dataValidation type="list" allowBlank="1" showInputMessage="1" showErrorMessage="1" sqref="L3:L5" xr:uid="{00000000-0002-0000-0100-00000B000000}">
      <formula1>INDIRECT("评分项!A:A")</formula1>
    </dataValidation>
    <dataValidation type="list" allowBlank="1" showInputMessage="1" showErrorMessage="1" sqref="AD3:AD5" xr:uid="{00000000-0002-0000-0100-00000E000000}">
      <formula1>INDIRECT("评分项!S:S")</formula1>
    </dataValidation>
  </dataValidations>
  <pageMargins left="0.7" right="0.7" top="0.75" bottom="0.75" header="0.3" footer="0.3"/>
  <pageSetup paperSize="9" orientation="portrait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100-00000A000000}">
          <x14:formula1>
            <xm:f>评分项!$AM$1:$AM$15</xm:f>
          </x14:formula1>
          <xm:sqref>F3</xm:sqref>
        </x14:dataValidation>
        <x14:dataValidation type="list" allowBlank="1" showInputMessage="1" showErrorMessage="1" xr:uid="{00000000-0002-0000-0100-00000C000000}">
          <x14:formula1>
            <xm:f>评分项!$AL$1:$AL$9</xm:f>
          </x14:formula1>
          <xm:sqref>E3:E5</xm:sqref>
        </x14:dataValidation>
        <x14:dataValidation type="list" allowBlank="1" showInputMessage="1" showErrorMessage="1" xr:uid="{00000000-0002-0000-0100-00000D000000}">
          <x14:formula1>
            <xm:f>评分项!$AM$1:$AM$14</xm:f>
          </x14:formula1>
          <xm:sqref>F4:F5</xm:sqref>
        </x14:dataValidation>
        <x14:dataValidation type="list" errorStyle="information" allowBlank="1" showErrorMessage="1" errorTitle="错误提示" error="请输入下拉列表中的一个值" xr:uid="{00000000-0002-0000-0100-00000F000000}">
          <x14:formula1>
            <xm:f>评分项!$AK$1:$AK$5</xm:f>
          </x14:formula1>
          <xm:sqref>D3:D5</xm:sqref>
        </x14:dataValidation>
        <x14:dataValidation type="list" allowBlank="1" showInputMessage="1" showErrorMessage="1" xr:uid="{56ED6CC7-D607-4AF7-9049-F789C38846AA}">
          <x14:formula1>
            <xm:f>评分项!$AN$1:$AN$15</xm:f>
          </x14:formula1>
          <xm:sqref>I3:I5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R2"/>
  <sheetViews>
    <sheetView zoomScale="110" zoomScaleNormal="70" workbookViewId="0">
      <selection activeCell="A3" sqref="A3:XFD32"/>
    </sheetView>
  </sheetViews>
  <sheetFormatPr defaultColWidth="9" defaultRowHeight="13.8" x14ac:dyDescent="0.25"/>
  <cols>
    <col min="1" max="1" width="6.109375" customWidth="1"/>
    <col min="2" max="2" width="30.6640625" customWidth="1"/>
    <col min="3" max="3" width="25.88671875" customWidth="1"/>
    <col min="4" max="4" width="12.77734375" customWidth="1"/>
    <col min="5" max="5" width="19.44140625" customWidth="1"/>
    <col min="6" max="6" width="16.21875" customWidth="1"/>
    <col min="7" max="7" width="18" customWidth="1"/>
    <col min="8" max="11" width="19.44140625" customWidth="1"/>
    <col min="12" max="12" width="16.44140625" customWidth="1"/>
    <col min="13" max="13" width="19.5546875" customWidth="1"/>
    <col min="14" max="14" width="15.77734375" customWidth="1"/>
    <col min="15" max="15" width="15" customWidth="1"/>
    <col min="16" max="16" width="25.44140625" customWidth="1"/>
  </cols>
  <sheetData>
    <row r="1" spans="1:18" ht="42.15" customHeight="1" x14ac:dyDescent="0.25">
      <c r="A1" s="53" t="s">
        <v>0</v>
      </c>
      <c r="B1" s="53"/>
      <c r="C1" s="53"/>
      <c r="D1" s="53"/>
      <c r="E1" s="54" t="s">
        <v>1</v>
      </c>
      <c r="F1" s="54"/>
      <c r="G1" s="54"/>
      <c r="H1" s="55" t="s">
        <v>2</v>
      </c>
      <c r="I1" s="56"/>
      <c r="J1" s="56"/>
      <c r="K1" s="56"/>
      <c r="L1" s="56"/>
      <c r="M1" s="57"/>
      <c r="N1" s="58" t="s">
        <v>3</v>
      </c>
      <c r="O1" s="58"/>
      <c r="P1" s="58"/>
      <c r="Q1" s="58"/>
      <c r="R1" s="58"/>
    </row>
    <row r="2" spans="1:18" ht="50.4" customHeight="1" x14ac:dyDescent="0.25">
      <c r="A2" s="8" t="s">
        <v>4</v>
      </c>
      <c r="B2" s="8" t="s">
        <v>5</v>
      </c>
      <c r="C2" s="8" t="s">
        <v>6</v>
      </c>
      <c r="D2" s="8" t="s">
        <v>7</v>
      </c>
      <c r="E2" s="36" t="s">
        <v>8</v>
      </c>
      <c r="F2" s="36" t="s">
        <v>9</v>
      </c>
      <c r="G2" s="36" t="s">
        <v>10</v>
      </c>
      <c r="H2" s="37" t="s">
        <v>11</v>
      </c>
      <c r="I2" s="37" t="s">
        <v>12</v>
      </c>
      <c r="J2" s="37" t="s">
        <v>13</v>
      </c>
      <c r="K2" s="37" t="s">
        <v>14</v>
      </c>
      <c r="L2" s="37" t="s">
        <v>15</v>
      </c>
      <c r="M2" s="37" t="s">
        <v>16</v>
      </c>
      <c r="N2" s="38" t="s">
        <v>17</v>
      </c>
      <c r="O2" s="38" t="s">
        <v>18</v>
      </c>
      <c r="P2" s="38" t="s">
        <v>19</v>
      </c>
      <c r="Q2" s="38" t="s">
        <v>193</v>
      </c>
      <c r="R2" s="38" t="s">
        <v>194</v>
      </c>
    </row>
  </sheetData>
  <sheetProtection formatCells="0" insertHyperlinks="0" autoFilter="0"/>
  <autoFilter ref="A2:P2" xr:uid="{00000000-0009-0000-0000-000000000000}"/>
  <mergeCells count="4">
    <mergeCell ref="A1:D1"/>
    <mergeCell ref="E1:G1"/>
    <mergeCell ref="H1:M1"/>
    <mergeCell ref="N1:R1"/>
  </mergeCells>
  <phoneticPr fontId="12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S23"/>
  <sheetViews>
    <sheetView zoomScale="93" zoomScaleNormal="70" workbookViewId="0">
      <selection activeCell="A3" sqref="A3:XFD32"/>
    </sheetView>
  </sheetViews>
  <sheetFormatPr defaultColWidth="9" defaultRowHeight="13.8" x14ac:dyDescent="0.25"/>
  <cols>
    <col min="1" max="1" width="5.5546875" customWidth="1"/>
    <col min="2" max="2" width="32.6640625" customWidth="1"/>
    <col min="3" max="3" width="33.5546875" customWidth="1"/>
    <col min="4" max="4" width="26.77734375" customWidth="1"/>
    <col min="5" max="5" width="20.88671875" customWidth="1"/>
    <col min="6" max="6" width="26.77734375" customWidth="1"/>
    <col min="7" max="7" width="20.33203125" customWidth="1"/>
    <col min="8" max="9" width="16.88671875" customWidth="1"/>
    <col min="10" max="10" width="14.77734375" customWidth="1"/>
    <col min="11" max="11" width="15.6640625" customWidth="1"/>
    <col min="12" max="12" width="15.109375" customWidth="1"/>
    <col min="13" max="13" width="11.21875" customWidth="1"/>
    <col min="14" max="14" width="16.44140625" customWidth="1"/>
    <col min="15" max="15" width="17.21875" customWidth="1"/>
  </cols>
  <sheetData>
    <row r="1" spans="1:19" ht="44.4" customHeight="1" x14ac:dyDescent="0.25">
      <c r="A1" s="53" t="s">
        <v>137</v>
      </c>
      <c r="B1" s="53"/>
      <c r="C1" s="53"/>
      <c r="D1" s="53"/>
      <c r="E1" s="53"/>
      <c r="F1" s="53"/>
      <c r="G1" s="53"/>
      <c r="H1" s="53"/>
      <c r="I1" s="53"/>
      <c r="J1" s="59" t="s">
        <v>138</v>
      </c>
      <c r="K1" s="60"/>
      <c r="L1" s="60"/>
      <c r="M1" s="61" t="s">
        <v>139</v>
      </c>
      <c r="N1" s="61"/>
      <c r="O1" s="61"/>
      <c r="P1" s="61"/>
      <c r="Q1" s="61"/>
      <c r="R1" s="61"/>
      <c r="S1" s="61"/>
    </row>
    <row r="2" spans="1:19" ht="81" x14ac:dyDescent="0.25">
      <c r="A2" s="8" t="s">
        <v>4</v>
      </c>
      <c r="B2" s="8" t="s">
        <v>140</v>
      </c>
      <c r="C2" s="8" t="s">
        <v>5</v>
      </c>
      <c r="D2" s="8" t="s">
        <v>6</v>
      </c>
      <c r="E2" s="8" t="s">
        <v>141</v>
      </c>
      <c r="F2" s="8" t="s">
        <v>142</v>
      </c>
      <c r="G2" s="8" t="s">
        <v>143</v>
      </c>
      <c r="H2" s="8" t="s">
        <v>144</v>
      </c>
      <c r="I2" s="8" t="s">
        <v>145</v>
      </c>
      <c r="J2" s="14" t="s">
        <v>146</v>
      </c>
      <c r="K2" s="15" t="s">
        <v>147</v>
      </c>
      <c r="L2" s="15" t="s">
        <v>148</v>
      </c>
      <c r="M2" s="16" t="s">
        <v>149</v>
      </c>
      <c r="N2" s="16" t="s">
        <v>150</v>
      </c>
      <c r="O2" s="16" t="s">
        <v>151</v>
      </c>
      <c r="P2" s="16" t="s">
        <v>152</v>
      </c>
      <c r="Q2" s="16" t="s">
        <v>153</v>
      </c>
      <c r="R2" s="16" t="s">
        <v>154</v>
      </c>
      <c r="S2" s="16" t="s">
        <v>155</v>
      </c>
    </row>
    <row r="3" spans="1:19" x14ac:dyDescent="0.25">
      <c r="C3" s="2"/>
      <c r="D3" s="11"/>
    </row>
    <row r="4" spans="1:19" x14ac:dyDescent="0.25">
      <c r="C4" s="2"/>
      <c r="D4" s="11"/>
    </row>
    <row r="5" spans="1:19" x14ac:dyDescent="0.25">
      <c r="C5" s="2"/>
      <c r="D5" s="11"/>
    </row>
    <row r="6" spans="1:19" x14ac:dyDescent="0.25">
      <c r="C6" s="2"/>
      <c r="D6" s="11"/>
    </row>
    <row r="7" spans="1:19" x14ac:dyDescent="0.25">
      <c r="C7" s="2"/>
      <c r="D7" s="11"/>
    </row>
    <row r="8" spans="1:19" x14ac:dyDescent="0.25">
      <c r="C8" s="2"/>
      <c r="D8" s="11"/>
    </row>
    <row r="9" spans="1:19" x14ac:dyDescent="0.25">
      <c r="C9" s="12"/>
      <c r="D9" s="13"/>
    </row>
    <row r="10" spans="1:19" x14ac:dyDescent="0.25">
      <c r="C10" s="2"/>
      <c r="D10" s="11"/>
    </row>
    <row r="11" spans="1:19" x14ac:dyDescent="0.25">
      <c r="C11" s="2"/>
      <c r="D11" s="11"/>
    </row>
    <row r="12" spans="1:19" x14ac:dyDescent="0.25">
      <c r="C12" s="2"/>
      <c r="D12" s="11"/>
    </row>
    <row r="13" spans="1:19" x14ac:dyDescent="0.25">
      <c r="C13" s="9"/>
      <c r="D13" s="11"/>
    </row>
    <row r="14" spans="1:19" x14ac:dyDescent="0.25">
      <c r="C14" s="2"/>
      <c r="D14" s="11"/>
    </row>
    <row r="15" spans="1:19" x14ac:dyDescent="0.25">
      <c r="C15" s="12"/>
      <c r="D15" s="13"/>
    </row>
    <row r="16" spans="1:19" x14ac:dyDescent="0.25">
      <c r="C16" s="2"/>
      <c r="D16" s="11"/>
    </row>
    <row r="17" spans="3:4" x14ac:dyDescent="0.25">
      <c r="C17" s="2"/>
      <c r="D17" s="11"/>
    </row>
    <row r="18" spans="3:4" x14ac:dyDescent="0.25">
      <c r="C18" s="2"/>
      <c r="D18" s="11"/>
    </row>
    <row r="19" spans="3:4" x14ac:dyDescent="0.25">
      <c r="C19" s="12"/>
      <c r="D19" s="12"/>
    </row>
    <row r="20" spans="3:4" x14ac:dyDescent="0.25">
      <c r="C20" s="12"/>
      <c r="D20" s="12"/>
    </row>
    <row r="21" spans="3:4" x14ac:dyDescent="0.25">
      <c r="C21" s="12"/>
      <c r="D21" s="11"/>
    </row>
    <row r="22" spans="3:4" x14ac:dyDescent="0.25">
      <c r="C22" s="12"/>
      <c r="D22" s="13"/>
    </row>
    <row r="23" spans="3:4" x14ac:dyDescent="0.25">
      <c r="C23" s="2"/>
      <c r="D23" s="11"/>
    </row>
  </sheetData>
  <sheetProtection formatCells="0" insertHyperlinks="0" autoFilter="0"/>
  <mergeCells count="3">
    <mergeCell ref="A1:I1"/>
    <mergeCell ref="J1:L1"/>
    <mergeCell ref="M1:S1"/>
  </mergeCells>
  <phoneticPr fontId="12" type="noConversion"/>
  <conditionalFormatting sqref="C3:C23">
    <cfRule type="duplicateValues" dxfId="1" priority="2"/>
  </conditionalFormatting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N17"/>
  <sheetViews>
    <sheetView topLeftCell="AC1" workbookViewId="0">
      <selection activeCell="AQ18" sqref="AQ18"/>
    </sheetView>
  </sheetViews>
  <sheetFormatPr defaultColWidth="9" defaultRowHeight="13.8" x14ac:dyDescent="0.25"/>
  <cols>
    <col min="10" max="10" width="14.21875" customWidth="1"/>
    <col min="15" max="15" width="8.88671875" style="1"/>
    <col min="19" max="19" width="17" customWidth="1"/>
    <col min="22" max="22" width="20.77734375" customWidth="1"/>
    <col min="25" max="25" width="22.109375" customWidth="1"/>
    <col min="28" max="28" width="15.109375" customWidth="1"/>
    <col min="33" max="33" width="9" style="1"/>
    <col min="34" max="34" width="16.88671875" customWidth="1"/>
    <col min="36" max="36" width="9" style="1"/>
    <col min="37" max="37" width="24.6640625" customWidth="1"/>
    <col min="38" max="38" width="25.77734375" customWidth="1"/>
    <col min="39" max="39" width="11.6640625" customWidth="1"/>
  </cols>
  <sheetData>
    <row r="1" spans="1:40" ht="28.8" x14ac:dyDescent="0.25">
      <c r="A1" s="2" t="s">
        <v>134</v>
      </c>
      <c r="B1">
        <v>2</v>
      </c>
      <c r="D1" t="s">
        <v>125</v>
      </c>
      <c r="E1">
        <v>2</v>
      </c>
      <c r="G1" t="s">
        <v>93</v>
      </c>
      <c r="H1">
        <v>2</v>
      </c>
      <c r="J1" s="3" t="s">
        <v>94</v>
      </c>
      <c r="K1">
        <v>2</v>
      </c>
      <c r="M1" s="4" t="s">
        <v>95</v>
      </c>
      <c r="N1">
        <v>2</v>
      </c>
      <c r="P1" s="3" t="s">
        <v>122</v>
      </c>
      <c r="Q1">
        <v>2</v>
      </c>
      <c r="S1" s="3" t="s">
        <v>97</v>
      </c>
      <c r="T1">
        <v>2</v>
      </c>
      <c r="V1" s="4" t="s">
        <v>98</v>
      </c>
      <c r="W1" s="4">
        <v>2</v>
      </c>
      <c r="Y1" s="4" t="s">
        <v>123</v>
      </c>
      <c r="Z1">
        <v>2</v>
      </c>
      <c r="AB1" s="4" t="s">
        <v>114</v>
      </c>
      <c r="AC1">
        <v>5</v>
      </c>
      <c r="AE1" s="2" t="s">
        <v>124</v>
      </c>
      <c r="AF1">
        <v>0</v>
      </c>
      <c r="AH1" s="4" t="s">
        <v>133</v>
      </c>
      <c r="AI1">
        <v>10</v>
      </c>
      <c r="AK1" s="6" t="s">
        <v>156</v>
      </c>
      <c r="AL1" s="7" t="s">
        <v>157</v>
      </c>
      <c r="AM1" t="s">
        <v>116</v>
      </c>
      <c r="AN1" s="39" t="s">
        <v>175</v>
      </c>
    </row>
    <row r="2" spans="1:40" ht="28.8" x14ac:dyDescent="0.25">
      <c r="A2" s="2" t="s">
        <v>91</v>
      </c>
      <c r="B2">
        <v>5</v>
      </c>
      <c r="D2" t="s">
        <v>92</v>
      </c>
      <c r="E2">
        <v>5</v>
      </c>
      <c r="G2" t="s">
        <v>118</v>
      </c>
      <c r="H2">
        <v>5</v>
      </c>
      <c r="J2" s="3" t="s">
        <v>129</v>
      </c>
      <c r="K2">
        <v>5</v>
      </c>
      <c r="M2" s="4" t="s">
        <v>81</v>
      </c>
      <c r="N2">
        <v>5</v>
      </c>
      <c r="P2" s="3" t="s">
        <v>82</v>
      </c>
      <c r="Q2">
        <v>5</v>
      </c>
      <c r="S2" s="3" t="s">
        <v>158</v>
      </c>
      <c r="T2">
        <v>5</v>
      </c>
      <c r="V2" s="4" t="s">
        <v>113</v>
      </c>
      <c r="W2">
        <v>3</v>
      </c>
      <c r="Y2" s="4" t="s">
        <v>99</v>
      </c>
      <c r="Z2">
        <v>3</v>
      </c>
      <c r="AB2" s="4" t="s">
        <v>159</v>
      </c>
      <c r="AC2">
        <v>3</v>
      </c>
      <c r="AE2" s="2" t="s">
        <v>101</v>
      </c>
      <c r="AF2">
        <v>2</v>
      </c>
      <c r="AH2" s="4" t="s">
        <v>88</v>
      </c>
      <c r="AI2">
        <v>8</v>
      </c>
      <c r="AK2" s="6" t="s">
        <v>160</v>
      </c>
      <c r="AL2" s="7" t="s">
        <v>161</v>
      </c>
      <c r="AM2" t="s">
        <v>126</v>
      </c>
      <c r="AN2" s="39" t="s">
        <v>176</v>
      </c>
    </row>
    <row r="3" spans="1:40" ht="28.8" x14ac:dyDescent="0.25">
      <c r="A3" s="2" t="s">
        <v>112</v>
      </c>
      <c r="B3">
        <v>8</v>
      </c>
      <c r="D3" t="s">
        <v>107</v>
      </c>
      <c r="E3">
        <v>8</v>
      </c>
      <c r="G3" t="s">
        <v>108</v>
      </c>
      <c r="H3">
        <v>8</v>
      </c>
      <c r="J3" s="3" t="s">
        <v>109</v>
      </c>
      <c r="K3">
        <v>8</v>
      </c>
      <c r="M3" s="4" t="s">
        <v>119</v>
      </c>
      <c r="N3">
        <v>8</v>
      </c>
      <c r="P3" s="3" t="s">
        <v>110</v>
      </c>
      <c r="Q3">
        <v>8</v>
      </c>
      <c r="S3" s="3" t="s">
        <v>83</v>
      </c>
      <c r="T3">
        <v>8</v>
      </c>
      <c r="V3" s="4" t="s">
        <v>84</v>
      </c>
      <c r="W3">
        <v>5</v>
      </c>
      <c r="Y3" s="4" t="s">
        <v>85</v>
      </c>
      <c r="Z3">
        <v>5</v>
      </c>
      <c r="AB3" s="4" t="s">
        <v>86</v>
      </c>
      <c r="AC3">
        <v>2</v>
      </c>
      <c r="AE3" s="2" t="s">
        <v>87</v>
      </c>
      <c r="AF3">
        <v>5</v>
      </c>
      <c r="AH3" s="4" t="s">
        <v>120</v>
      </c>
      <c r="AI3">
        <v>5</v>
      </c>
      <c r="AK3" s="6" t="s">
        <v>162</v>
      </c>
      <c r="AL3" s="7" t="s">
        <v>163</v>
      </c>
      <c r="AM3" t="s">
        <v>164</v>
      </c>
      <c r="AN3" s="39" t="s">
        <v>177</v>
      </c>
    </row>
    <row r="4" spans="1:40" ht="28.5" customHeight="1" x14ac:dyDescent="0.25">
      <c r="A4" s="2" t="s">
        <v>76</v>
      </c>
      <c r="B4">
        <v>10</v>
      </c>
      <c r="D4" t="s">
        <v>78</v>
      </c>
      <c r="E4">
        <v>10</v>
      </c>
      <c r="G4" t="s">
        <v>79</v>
      </c>
      <c r="H4">
        <v>10</v>
      </c>
      <c r="J4" s="4" t="s">
        <v>80</v>
      </c>
      <c r="K4">
        <v>10</v>
      </c>
      <c r="M4" s="4" t="s">
        <v>127</v>
      </c>
      <c r="N4">
        <v>10</v>
      </c>
      <c r="P4" s="5" t="s">
        <v>96</v>
      </c>
      <c r="Q4">
        <v>10</v>
      </c>
      <c r="S4" s="4" t="s">
        <v>165</v>
      </c>
      <c r="T4">
        <v>10</v>
      </c>
      <c r="AB4" s="4" t="s">
        <v>100</v>
      </c>
      <c r="AC4">
        <v>0</v>
      </c>
      <c r="AH4" s="4" t="s">
        <v>102</v>
      </c>
      <c r="AI4">
        <v>0</v>
      </c>
      <c r="AK4" s="6" t="s">
        <v>103</v>
      </c>
      <c r="AL4" s="7" t="s">
        <v>166</v>
      </c>
      <c r="AM4" t="s">
        <v>131</v>
      </c>
      <c r="AN4" s="39" t="s">
        <v>178</v>
      </c>
    </row>
    <row r="5" spans="1:40" x14ac:dyDescent="0.25">
      <c r="AK5" s="6" t="s">
        <v>167</v>
      </c>
      <c r="AL5" s="7" t="s">
        <v>168</v>
      </c>
      <c r="AM5" s="7" t="s">
        <v>73</v>
      </c>
      <c r="AN5" s="39" t="s">
        <v>179</v>
      </c>
    </row>
    <row r="6" spans="1:40" x14ac:dyDescent="0.25">
      <c r="AL6" s="7" t="s">
        <v>104</v>
      </c>
      <c r="AM6" t="s">
        <v>105</v>
      </c>
      <c r="AN6" s="39" t="s">
        <v>180</v>
      </c>
    </row>
    <row r="7" spans="1:40" x14ac:dyDescent="0.25">
      <c r="AL7" s="7" t="s">
        <v>169</v>
      </c>
      <c r="AM7" t="s">
        <v>130</v>
      </c>
      <c r="AN7" s="39" t="s">
        <v>181</v>
      </c>
    </row>
    <row r="8" spans="1:40" x14ac:dyDescent="0.25">
      <c r="AL8" s="7" t="s">
        <v>121</v>
      </c>
      <c r="AM8" t="s">
        <v>132</v>
      </c>
      <c r="AN8" s="39" t="s">
        <v>182</v>
      </c>
    </row>
    <row r="9" spans="1:40" x14ac:dyDescent="0.25">
      <c r="AL9" s="7" t="s">
        <v>170</v>
      </c>
      <c r="AM9" t="s">
        <v>135</v>
      </c>
      <c r="AN9" s="39" t="s">
        <v>183</v>
      </c>
    </row>
    <row r="10" spans="1:40" x14ac:dyDescent="0.25">
      <c r="AM10" t="s">
        <v>128</v>
      </c>
      <c r="AN10" s="39" t="s">
        <v>184</v>
      </c>
    </row>
    <row r="11" spans="1:40" x14ac:dyDescent="0.25">
      <c r="AM11" t="s">
        <v>136</v>
      </c>
      <c r="AN11" s="39" t="s">
        <v>185</v>
      </c>
    </row>
    <row r="12" spans="1:40" x14ac:dyDescent="0.25">
      <c r="AM12" t="s">
        <v>171</v>
      </c>
      <c r="AN12" s="39" t="s">
        <v>186</v>
      </c>
    </row>
    <row r="13" spans="1:40" x14ac:dyDescent="0.25">
      <c r="AM13" t="s">
        <v>172</v>
      </c>
      <c r="AN13" s="39" t="s">
        <v>187</v>
      </c>
    </row>
    <row r="14" spans="1:40" x14ac:dyDescent="0.25">
      <c r="AM14" t="s">
        <v>173</v>
      </c>
      <c r="AN14" s="39" t="s">
        <v>188</v>
      </c>
    </row>
    <row r="15" spans="1:40" x14ac:dyDescent="0.25">
      <c r="AN15" s="39" t="s">
        <v>189</v>
      </c>
    </row>
    <row r="16" spans="1:40" x14ac:dyDescent="0.25">
      <c r="AL16" s="7"/>
    </row>
    <row r="17" spans="38:38" x14ac:dyDescent="0.25">
      <c r="AL17" s="7"/>
    </row>
  </sheetData>
  <sheetProtection formatCells="0" insertHyperlinks="0" autoFilter="0"/>
  <phoneticPr fontId="1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ixelators xmlns="https://web.wps.cn/et/2018/main" xmlns:s="http://schemas.openxmlformats.org/spreadsheetml/2006/main">
  <pixelatorList sheetStid="5"/>
  <pixelatorList sheetStid="1"/>
  <pixelatorList sheetStid="3"/>
  <pixelatorList sheetStid="2"/>
  <pixelatorList sheetStid="6"/>
</pixelators>
</file>

<file path=customXml/item2.xml><?xml version="1.0" encoding="utf-8"?>
<woProps xmlns="https://web.wps.cn/et/2018/main" xmlns:s="http://schemas.openxmlformats.org/spreadsheetml/2006/main">
  <woSheetsProps>
    <woSheetProps sheetStid="5" interlineOnOff="0" interlineColor="0" isDbSheet="0" isDashBoardSheet="0" isDbDashBoardSheet="0" isFlexPaperSheet="0">
      <cellprotection/>
      <appEtDbRelations/>
    </woSheetProps>
    <woSheetProps sheetStid="1" interlineOnOff="0" interlineColor="0" isDbSheet="0" isDashBoardSheet="0" isDbDashBoardSheet="0" isFlexPaperSheet="0">
      <cellprotection/>
      <appEtDbRelations/>
    </woSheetProps>
    <woSheetProps sheetStid="3" interlineOnOff="0" interlineColor="0" isDbSheet="0" isDashBoardSheet="0" isDbDashBoardSheet="0" isFlexPaperSheet="0">
      <cellprotection/>
      <appEtDbRelations/>
    </woSheetProps>
    <woSheetProps sheetStid="2" interlineOnOff="0" interlineColor="0" isDbSheet="0" isDashBoardSheet="0" isDbDashBoardSheet="0" isFlexPaperSheet="0">
      <cellprotection/>
      <appEtDbRelations/>
    </woSheetProps>
  </woSheetsProps>
  <woBookProps>
    <bookSettings isFilterShared="0" coreConquerUserId="" isAutoUpdatePaused="0" filterType="user" isMergeTasksAutoUpdate="0" isInserPicAsAttachment="0"/>
  </woBookProps>
</woProps>
</file>

<file path=customXml/item3.xml><?xml version="1.0" encoding="utf-8"?>
<autofilters xmlns="https://web.wps.cn/et/2018/main">
  <sheetItem sheetStid="1">
    <filterData filterID="AK20210901JXNSXO16510457"/>
    <filterData filterID="AK20210901JXNSXO71922"/>
    <autofilterInfo filterID="AK20210901JXNSXO71922">
      <autoFilter xmlns="http://schemas.openxmlformats.org/spreadsheetml/2006/main" ref="A2:AP114"/>
    </autofilterInfo>
  </sheetItem>
</autofilters>
</file>

<file path=customXml/itemProps1.xml><?xml version="1.0" encoding="utf-8"?>
<ds:datastoreItem xmlns:ds="http://schemas.openxmlformats.org/officeDocument/2006/customXml" ds:itemID="{224D003E-15C9-4FFE-AB16-9E66474EAE4E}">
  <ds:schemaRefs>
    <ds:schemaRef ds:uri="https://web.wps.cn/et/2018/main"/>
    <ds:schemaRef ds:uri="http://schemas.openxmlformats.org/spreadsheetml/2006/main"/>
  </ds:schemaRefs>
</ds:datastoreItem>
</file>

<file path=customXml/itemProps2.xml><?xml version="1.0" encoding="utf-8"?>
<ds:datastoreItem xmlns:ds="http://schemas.openxmlformats.org/officeDocument/2006/customXml" ds:itemID="{06C82605-B75B-4693-9329-32AAD527C692}">
  <ds:schemaRefs>
    <ds:schemaRef ds:uri="https://web.wps.cn/et/2018/main"/>
    <ds:schemaRef ds:uri="http://schemas.openxmlformats.org/spreadsheetml/2006/main"/>
  </ds:schemaRefs>
</ds:datastoreItem>
</file>

<file path=customXml/itemProps3.xml><?xml version="1.0" encoding="utf-8"?>
<ds:datastoreItem xmlns:ds="http://schemas.openxmlformats.org/officeDocument/2006/customXml" ds:itemID="{D5662047-3127-477A-AC3A-1D340467FB41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创新中心伙伴（伙伴洞察）</vt:lpstr>
      <vt:lpstr>伙伴运营进展(战略聚焦)-分数&gt;60</vt:lpstr>
      <vt:lpstr>解决方案列表(价值识别)-分数前30</vt:lpstr>
      <vt:lpstr>评分项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Penghao(Howe,Artificial Intelligence)</dc:creator>
  <cp:lastModifiedBy>Penghao(Howe,Artificial Intelligence)</cp:lastModifiedBy>
  <dcterms:created xsi:type="dcterms:W3CDTF">2025-09-02T17:17:00Z</dcterms:created>
  <dcterms:modified xsi:type="dcterms:W3CDTF">2025-11-25T07:21:26Z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2052-0.0.0.0</vt:lpwstr>
  </property>
</Properties>
</file>